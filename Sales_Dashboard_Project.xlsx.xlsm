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hidePivotFieldList="1" defaultThemeVersion="124226"/>
  <bookViews>
    <workbookView xWindow="240" yWindow="105" windowWidth="20115" windowHeight="7500" firstSheet="2" activeTab="2"/>
  </bookViews>
  <sheets>
    <sheet name="Analysis" sheetId="5" state="hidden" r:id="rId1"/>
    <sheet name="Data" sheetId="1" state="hidden" r:id="rId2"/>
    <sheet name="Dashboard" sheetId="3" r:id="rId3"/>
  </sheets>
  <calcPr calcId="125725"/>
  <pivotCaches>
    <pivotCache cacheId="0" r:id="rId4"/>
  </pivotCaches>
</workbook>
</file>

<file path=xl/calcChain.xml><?xml version="1.0" encoding="utf-8"?>
<calcChain xmlns="http://schemas.openxmlformats.org/spreadsheetml/2006/main">
  <c r="B2" i="5"/>
  <c r="B1"/>
  <c r="H2" i="1"/>
  <c r="I2" s="1"/>
  <c r="H3"/>
  <c r="I3" s="1"/>
  <c r="H4"/>
  <c r="I4" s="1"/>
  <c r="H5"/>
  <c r="I5" s="1"/>
  <c r="H6"/>
  <c r="I6" s="1"/>
  <c r="H7"/>
  <c r="I7" s="1"/>
  <c r="H8"/>
  <c r="I8" s="1"/>
  <c r="H9"/>
  <c r="I9" s="1"/>
  <c r="H10"/>
  <c r="I10" s="1"/>
  <c r="H11"/>
  <c r="I11" s="1"/>
  <c r="H12"/>
  <c r="I12" s="1"/>
  <c r="H13"/>
  <c r="I13" s="1"/>
  <c r="H14"/>
  <c r="I14" s="1"/>
  <c r="H15"/>
  <c r="I15" s="1"/>
  <c r="H16"/>
  <c r="I16" s="1"/>
  <c r="H17"/>
  <c r="I17" s="1"/>
  <c r="H18"/>
  <c r="I18" s="1"/>
  <c r="H19"/>
  <c r="I19" s="1"/>
  <c r="H20"/>
  <c r="I20" s="1"/>
  <c r="H21"/>
  <c r="I21" s="1"/>
  <c r="H22"/>
  <c r="I22" s="1"/>
  <c r="H23"/>
  <c r="I23" s="1"/>
  <c r="H24"/>
  <c r="I24" s="1"/>
  <c r="E11" i="5"/>
  <c r="E12"/>
</calcChain>
</file>

<file path=xl/sharedStrings.xml><?xml version="1.0" encoding="utf-8"?>
<sst xmlns="http://schemas.openxmlformats.org/spreadsheetml/2006/main" count="90" uniqueCount="28">
  <si>
    <t>Units Sold</t>
  </si>
  <si>
    <t>Cost</t>
  </si>
  <si>
    <t>Date</t>
  </si>
  <si>
    <t>Region</t>
  </si>
  <si>
    <r>
      <t>Salesperson</t>
    </r>
    <r>
      <rPr>
        <sz val="11"/>
        <color theme="1"/>
        <rFont val="Arial Black"/>
        <family val="2"/>
      </rPr>
      <t xml:space="preserve"> </t>
    </r>
  </si>
  <si>
    <t>Product Category</t>
  </si>
  <si>
    <r>
      <t>Revenue</t>
    </r>
    <r>
      <rPr>
        <b/>
        <sz val="11"/>
        <color theme="1"/>
        <rFont val="Arial Black"/>
        <family val="2"/>
      </rPr>
      <t xml:space="preserve"> </t>
    </r>
  </si>
  <si>
    <t>Alex</t>
  </si>
  <si>
    <t>North</t>
  </si>
  <si>
    <t>Hardware</t>
  </si>
  <si>
    <t>Ben</t>
  </si>
  <si>
    <t>South</t>
  </si>
  <si>
    <t>Software</t>
  </si>
  <si>
    <t>Chris</t>
  </si>
  <si>
    <t>East</t>
  </si>
  <si>
    <t>Services</t>
  </si>
  <si>
    <t>Dana</t>
  </si>
  <si>
    <t>West</t>
  </si>
  <si>
    <t>Profit Margin</t>
  </si>
  <si>
    <t>Profit</t>
  </si>
  <si>
    <t xml:space="preserve">Sum of Revenue </t>
  </si>
  <si>
    <t>Sum of Profit</t>
  </si>
  <si>
    <t>Values</t>
  </si>
  <si>
    <t>(All)</t>
  </si>
  <si>
    <t xml:space="preserve">Salesperson </t>
  </si>
  <si>
    <t xml:space="preserve">Regional Sales Dashboard </t>
  </si>
  <si>
    <t>Grand Total</t>
  </si>
  <si>
    <t>Units Solds</t>
  </si>
</sst>
</file>

<file path=xl/styles.xml><?xml version="1.0" encoding="utf-8"?>
<styleSheet xmlns="http://schemas.openxmlformats.org/spreadsheetml/2006/main">
  <numFmts count="3">
    <numFmt numFmtId="44" formatCode="_(&quot;$&quot;* #,##0.00_);_(&quot;$&quot;* \(#,##0.00\);_(&quot;$&quot;* &quot;-&quot;??_);_(@_)"/>
    <numFmt numFmtId="164" formatCode="&quot;$&quot;#,##0"/>
    <numFmt numFmtId="165" formatCode="_(&quot;$&quot;* #,##0_);_(&quot;$&quot;* \(#,##0\);_(&quot;$&quot;* &quot;-&quot;??_);_(@_)"/>
  </numFmts>
  <fonts count="6">
    <font>
      <sz val="11"/>
      <color theme="1"/>
      <name val="Calibri"/>
      <family val="2"/>
      <scheme val="minor"/>
    </font>
    <font>
      <b/>
      <sz val="11"/>
      <color theme="1"/>
      <name val="Arial Black"/>
      <family val="2"/>
    </font>
    <font>
      <sz val="11"/>
      <color theme="1"/>
      <name val="Arial Black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 tint="0.1499984740745262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9" fontId="4" fillId="0" borderId="0" applyFont="0" applyFill="0" applyBorder="0" applyAlignment="0" applyProtection="0"/>
    <xf numFmtId="44" fontId="4" fillId="0" borderId="0" applyFont="0" applyFill="0" applyBorder="0" applyAlignment="0" applyProtection="0"/>
  </cellStyleXfs>
  <cellXfs count="15">
    <xf numFmtId="0" fontId="0" fillId="0" borderId="0" xfId="0"/>
    <xf numFmtId="0" fontId="0" fillId="0" borderId="0" xfId="0" applyNumberFormat="1"/>
    <xf numFmtId="0" fontId="0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Alignment="1"/>
    <xf numFmtId="0" fontId="0" fillId="0" borderId="0" xfId="0" applyAlignment="1">
      <alignment horizontal="center"/>
    </xf>
    <xf numFmtId="9" fontId="3" fillId="0" borderId="0" xfId="1" applyNumberFormat="1" applyFont="1" applyAlignment="1">
      <alignment horizontal="center"/>
    </xf>
    <xf numFmtId="9" fontId="0" fillId="0" borderId="0" xfId="1" applyNumberFormat="1" applyFont="1"/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/>
    <xf numFmtId="165" fontId="0" fillId="0" borderId="0" xfId="2" applyNumberFormat="1" applyFont="1"/>
    <xf numFmtId="0" fontId="0" fillId="0" borderId="0" xfId="0" applyFont="1"/>
    <xf numFmtId="14" fontId="0" fillId="0" borderId="0" xfId="0" applyNumberFormat="1"/>
    <xf numFmtId="0" fontId="5" fillId="2" borderId="0" xfId="0" applyFont="1" applyFill="1" applyAlignment="1">
      <alignment horizontal="center" vertical="center"/>
    </xf>
  </cellXfs>
  <cellStyles count="3">
    <cellStyle name="Currency" xfId="2" builtinId="4"/>
    <cellStyle name="Normal" xfId="0" builtinId="0"/>
    <cellStyle name="Percent" xfId="1" builtinId="5"/>
  </cellStyles>
  <dxfs count="19">
    <dxf>
      <numFmt numFmtId="164" formatCode="&quot;$&quot;#,##0"/>
    </dxf>
    <dxf>
      <numFmt numFmtId="164" formatCode="&quot;$&quot;#,##0"/>
    </dxf>
    <dxf>
      <numFmt numFmtId="164" formatCode="&quot;$&quot;#,##0"/>
    </dxf>
    <dxf>
      <numFmt numFmtId="164" formatCode="&quot;$&quot;#,##0"/>
    </dxf>
    <dxf>
      <numFmt numFmtId="164" formatCode="&quot;$&quot;#,##0"/>
    </dxf>
    <dxf>
      <numFmt numFmtId="164" formatCode="&quot;$&quot;#,##0"/>
    </dxf>
    <dxf>
      <numFmt numFmtId="164" formatCode="&quot;$&quot;#,##0"/>
    </dxf>
    <dxf>
      <numFmt numFmtId="164" formatCode="&quot;$&quot;#,##0"/>
    </dxf>
    <dxf>
      <numFmt numFmtId="164" formatCode="&quot;$&quot;#,##0"/>
    </dxf>
    <dxf>
      <numFmt numFmtId="164" formatCode="&quot;$&quot;#,##0"/>
    </dxf>
    <dxf>
      <numFmt numFmtId="164" formatCode="&quot;$&quot;#,##0"/>
    </dxf>
    <dxf>
      <numFmt numFmtId="164" formatCode="&quot;$&quot;#,##0"/>
    </dxf>
    <dxf>
      <numFmt numFmtId="164" formatCode="&quot;$&quot;#,##0"/>
    </dxf>
    <dxf>
      <numFmt numFmtId="164" formatCode="&quot;$&quot;#,##0"/>
    </dxf>
    <dxf>
      <numFmt numFmtId="164" formatCode="&quot;$&quot;#,##0"/>
    </dxf>
    <dxf>
      <numFmt numFmtId="13" formatCode="0%"/>
    </dxf>
    <dxf>
      <numFmt numFmtId="0" formatCode="General"/>
    </dxf>
    <dxf>
      <numFmt numFmtId="19" formatCode="m/d/yyyy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relativeIndent="255" justifyLastLine="0" shrinkToFit="0" mergeCell="0" readingOrder="0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pivotSource>
    <c:name>[Sales_Dashboard_Project.xlsx.xlsm]Dashboard!PivotTable1</c:name>
    <c:fmtId val="9"/>
  </c:pivotSource>
  <c:chart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</c:pivotFmts>
    <c:plotArea>
      <c:layout/>
      <c:barChart>
        <c:barDir val="col"/>
        <c:grouping val="clustered"/>
        <c:ser>
          <c:idx val="0"/>
          <c:order val="0"/>
          <c:tx>
            <c:strRef>
              <c:f>Dashboard!$B$8:$B$9</c:f>
              <c:strCache>
                <c:ptCount val="1"/>
                <c:pt idx="0">
                  <c:v>Sum of Revenue </c:v>
                </c:pt>
              </c:strCache>
            </c:strRef>
          </c:tx>
          <c:cat>
            <c:strRef>
              <c:f>Dashboard!$A$10:$A$28</c:f>
              <c:strCache>
                <c:ptCount val="18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12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  <c:pt idx="13">
                  <c:v>16</c:v>
                </c:pt>
                <c:pt idx="14">
                  <c:v>18</c:v>
                </c:pt>
                <c:pt idx="15">
                  <c:v>20</c:v>
                </c:pt>
                <c:pt idx="16">
                  <c:v>22</c:v>
                </c:pt>
                <c:pt idx="17">
                  <c:v>25</c:v>
                </c:pt>
              </c:strCache>
            </c:strRef>
          </c:cat>
          <c:val>
            <c:numRef>
              <c:f>Dashboard!$B$10:$B$28</c:f>
              <c:numCache>
                <c:formatCode>"$"#,##0</c:formatCode>
                <c:ptCount val="18"/>
                <c:pt idx="0">
                  <c:v>3600</c:v>
                </c:pt>
                <c:pt idx="1">
                  <c:v>4800</c:v>
                </c:pt>
                <c:pt idx="2">
                  <c:v>11000</c:v>
                </c:pt>
                <c:pt idx="3">
                  <c:v>7200</c:v>
                </c:pt>
                <c:pt idx="4">
                  <c:v>16800</c:v>
                </c:pt>
                <c:pt idx="5">
                  <c:v>4400</c:v>
                </c:pt>
                <c:pt idx="6">
                  <c:v>1800</c:v>
                </c:pt>
                <c:pt idx="7">
                  <c:v>5500</c:v>
                </c:pt>
                <c:pt idx="8">
                  <c:v>3850</c:v>
                </c:pt>
                <c:pt idx="9">
                  <c:v>2400</c:v>
                </c:pt>
                <c:pt idx="10">
                  <c:v>2600</c:v>
                </c:pt>
                <c:pt idx="11">
                  <c:v>4900</c:v>
                </c:pt>
                <c:pt idx="12">
                  <c:v>6750</c:v>
                </c:pt>
                <c:pt idx="13">
                  <c:v>5600</c:v>
                </c:pt>
                <c:pt idx="14">
                  <c:v>4500</c:v>
                </c:pt>
                <c:pt idx="15">
                  <c:v>4000</c:v>
                </c:pt>
                <c:pt idx="16">
                  <c:v>6600</c:v>
                </c:pt>
                <c:pt idx="17">
                  <c:v>5000</c:v>
                </c:pt>
              </c:numCache>
            </c:numRef>
          </c:val>
        </c:ser>
        <c:ser>
          <c:idx val="1"/>
          <c:order val="1"/>
          <c:tx>
            <c:strRef>
              <c:f>Dashboard!$C$8:$C$9</c:f>
              <c:strCache>
                <c:ptCount val="1"/>
                <c:pt idx="0">
                  <c:v>Sum of Profit</c:v>
                </c:pt>
              </c:strCache>
            </c:strRef>
          </c:tx>
          <c:cat>
            <c:strRef>
              <c:f>Dashboard!$A$10:$A$28</c:f>
              <c:strCache>
                <c:ptCount val="18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7</c:v>
                </c:pt>
                <c:pt idx="5">
                  <c:v>8</c:v>
                </c:pt>
                <c:pt idx="6">
                  <c:v>9</c:v>
                </c:pt>
                <c:pt idx="7">
                  <c:v>10</c:v>
                </c:pt>
                <c:pt idx="8">
                  <c:v>11</c:v>
                </c:pt>
                <c:pt idx="9">
                  <c:v>12</c:v>
                </c:pt>
                <c:pt idx="10">
                  <c:v>13</c:v>
                </c:pt>
                <c:pt idx="11">
                  <c:v>14</c:v>
                </c:pt>
                <c:pt idx="12">
                  <c:v>15</c:v>
                </c:pt>
                <c:pt idx="13">
                  <c:v>16</c:v>
                </c:pt>
                <c:pt idx="14">
                  <c:v>18</c:v>
                </c:pt>
                <c:pt idx="15">
                  <c:v>20</c:v>
                </c:pt>
                <c:pt idx="16">
                  <c:v>22</c:v>
                </c:pt>
                <c:pt idx="17">
                  <c:v>25</c:v>
                </c:pt>
              </c:strCache>
            </c:strRef>
          </c:cat>
          <c:val>
            <c:numRef>
              <c:f>Dashboard!$C$10:$C$28</c:f>
              <c:numCache>
                <c:formatCode>"$"#,##0</c:formatCode>
                <c:ptCount val="18"/>
                <c:pt idx="0">
                  <c:v>2700</c:v>
                </c:pt>
                <c:pt idx="1">
                  <c:v>3600</c:v>
                </c:pt>
                <c:pt idx="2">
                  <c:v>8250</c:v>
                </c:pt>
                <c:pt idx="3">
                  <c:v>5400</c:v>
                </c:pt>
                <c:pt idx="4">
                  <c:v>12600</c:v>
                </c:pt>
                <c:pt idx="5">
                  <c:v>2780</c:v>
                </c:pt>
                <c:pt idx="6">
                  <c:v>1200</c:v>
                </c:pt>
                <c:pt idx="7">
                  <c:v>3450</c:v>
                </c:pt>
                <c:pt idx="8">
                  <c:v>2310</c:v>
                </c:pt>
                <c:pt idx="9">
                  <c:v>1600</c:v>
                </c:pt>
                <c:pt idx="10">
                  <c:v>1750</c:v>
                </c:pt>
                <c:pt idx="11">
                  <c:v>2940</c:v>
                </c:pt>
                <c:pt idx="12">
                  <c:v>4260</c:v>
                </c:pt>
                <c:pt idx="13">
                  <c:v>3360</c:v>
                </c:pt>
                <c:pt idx="14">
                  <c:v>2700</c:v>
                </c:pt>
                <c:pt idx="15">
                  <c:v>2700</c:v>
                </c:pt>
                <c:pt idx="16">
                  <c:v>3960</c:v>
                </c:pt>
                <c:pt idx="17">
                  <c:v>3350</c:v>
                </c:pt>
              </c:numCache>
            </c:numRef>
          </c:val>
        </c:ser>
        <c:axId val="88811008"/>
        <c:axId val="88812544"/>
      </c:barChart>
      <c:catAx>
        <c:axId val="88811008"/>
        <c:scaling>
          <c:orientation val="minMax"/>
        </c:scaling>
        <c:axPos val="b"/>
        <c:tickLblPos val="nextTo"/>
        <c:crossAx val="88812544"/>
        <c:crosses val="autoZero"/>
        <c:auto val="1"/>
        <c:lblAlgn val="ctr"/>
        <c:lblOffset val="100"/>
      </c:catAx>
      <c:valAx>
        <c:axId val="88812544"/>
        <c:scaling>
          <c:orientation val="minMax"/>
        </c:scaling>
        <c:axPos val="l"/>
        <c:numFmt formatCode="&quot;$&quot;#,##0" sourceLinked="1"/>
        <c:tickLblPos val="nextTo"/>
        <c:crossAx val="88811008"/>
        <c:crosses val="autoZero"/>
        <c:crossBetween val="between"/>
      </c:valAx>
      <c:spPr>
        <a:solidFill>
          <a:schemeClr val="bg1">
            <a:lumMod val="85000"/>
          </a:schemeClr>
        </a:solidFill>
      </c:spPr>
    </c:plotArea>
    <c:legend>
      <c:legendPos val="b"/>
      <c:layout/>
    </c:legend>
    <c:plotVisOnly val="1"/>
  </c:chart>
  <c:spPr>
    <a:solidFill>
      <a:schemeClr val="tx2">
        <a:lumMod val="60000"/>
        <a:lumOff val="40000"/>
      </a:schemeClr>
    </a:solidFill>
    <a:ln w="50800">
      <a:noFill/>
    </a:ln>
    <a:effectLst>
      <a:innerShdw blurRad="63500" dist="50800" dir="18900000">
        <a:prstClr val="black">
          <a:alpha val="50000"/>
        </a:prstClr>
      </a:innerShdw>
    </a:effectLst>
  </c:spPr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</xdr:colOff>
      <xdr:row>10</xdr:row>
      <xdr:rowOff>0</xdr:rowOff>
    </xdr:from>
    <xdr:to>
      <xdr:col>12</xdr:col>
      <xdr:colOff>0</xdr:colOff>
      <xdr:row>23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438151</xdr:colOff>
      <xdr:row>2</xdr:row>
      <xdr:rowOff>85724</xdr:rowOff>
    </xdr:from>
    <xdr:to>
      <xdr:col>14</xdr:col>
      <xdr:colOff>342901</xdr:colOff>
      <xdr:row>8</xdr:row>
      <xdr:rowOff>171449</xdr:rowOff>
    </xdr:to>
    <xdr:sp macro="" textlink="Analysis!E11">
      <xdr:nvSpPr>
        <xdr:cNvPr id="5" name="Rectangle 4"/>
        <xdr:cNvSpPr/>
      </xdr:nvSpPr>
      <xdr:spPr>
        <a:xfrm>
          <a:off x="7696201" y="542924"/>
          <a:ext cx="2343150" cy="1228725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fld id="{71EAC66C-5C61-4C88-9FEB-86240FBEEA84}" type="TxLink">
            <a:rPr lang="en-US" sz="20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$101,300 </a:t>
          </a:fld>
          <a:endParaRPr lang="en-US" sz="2000" b="1"/>
        </a:p>
      </xdr:txBody>
    </xdr:sp>
    <xdr:clientData/>
  </xdr:twoCellAnchor>
  <xdr:twoCellAnchor>
    <xdr:from>
      <xdr:col>4</xdr:col>
      <xdr:colOff>133351</xdr:colOff>
      <xdr:row>2</xdr:row>
      <xdr:rowOff>104775</xdr:rowOff>
    </xdr:from>
    <xdr:to>
      <xdr:col>8</xdr:col>
      <xdr:colOff>190501</xdr:colOff>
      <xdr:row>9</xdr:row>
      <xdr:rowOff>9525</xdr:rowOff>
    </xdr:to>
    <xdr:sp macro="" textlink="Analysis!E12">
      <xdr:nvSpPr>
        <xdr:cNvPr id="6" name="Rectangle 5"/>
        <xdr:cNvSpPr/>
      </xdr:nvSpPr>
      <xdr:spPr>
        <a:xfrm>
          <a:off x="3733801" y="561975"/>
          <a:ext cx="2495550" cy="123825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fld id="{117A74E6-56BD-4333-A206-BE26F0F45D1C}" type="TxLink">
            <a:rPr lang="en-US" sz="20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 $68,910 </a:t>
          </a:fld>
          <a:endParaRPr lang="en-US" sz="20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BCCK" refreshedDate="46008.504174652779" createdVersion="3" refreshedVersion="3" minRefreshableVersion="3" recordCount="23">
  <cacheSource type="worksheet">
    <worksheetSource name="tblRegionalSales"/>
  </cacheSource>
  <cacheFields count="9">
    <cacheField name="Date" numFmtId="0">
      <sharedItems containsSemiMixedTypes="0" containsString="0" containsNumber="1" containsInteger="1" minValue="45962" maxValue="45973" count="12">
        <n v="45962"/>
        <n v="45963"/>
        <n v="45964"/>
        <n v="45965"/>
        <n v="45966"/>
        <n v="45967"/>
        <n v="45968"/>
        <n v="45969"/>
        <n v="45970"/>
        <n v="45971"/>
        <n v="45972"/>
        <n v="45973"/>
      </sharedItems>
    </cacheField>
    <cacheField name="Salesperson " numFmtId="0">
      <sharedItems count="4">
        <s v="Alex"/>
        <s v="Ben"/>
        <s v="Chris"/>
        <s v="Dana"/>
      </sharedItems>
    </cacheField>
    <cacheField name="Region" numFmtId="0">
      <sharedItems count="4">
        <s v="North"/>
        <s v="South"/>
        <s v="East"/>
        <s v="West"/>
      </sharedItems>
    </cacheField>
    <cacheField name="Product Category" numFmtId="0">
      <sharedItems count="3">
        <s v="Hardware"/>
        <s v="Software"/>
        <s v="Services"/>
      </sharedItems>
    </cacheField>
    <cacheField name="Units Sold" numFmtId="0">
      <sharedItems containsSemiMixedTypes="0" containsString="0" containsNumber="1" containsInteger="1" minValue="3" maxValue="25" count="18">
        <n v="15"/>
        <n v="5"/>
        <n v="12"/>
        <n v="8"/>
        <n v="20"/>
        <n v="3"/>
        <n v="18"/>
        <n v="9"/>
        <n v="7"/>
        <n v="14"/>
        <n v="25"/>
        <n v="4"/>
        <n v="10"/>
        <n v="11"/>
        <n v="6"/>
        <n v="22"/>
        <n v="13"/>
        <n v="16"/>
      </sharedItems>
    </cacheField>
    <cacheField name="Revenue " numFmtId="0">
      <sharedItems containsSemiMixedTypes="0" containsString="0" containsNumber="1" containsInteger="1" minValue="1600" maxValue="8400"/>
    </cacheField>
    <cacheField name="Cost" numFmtId="0">
      <sharedItems containsSemiMixedTypes="0" containsString="0" containsNumber="1" containsInteger="1" minValue="500" maxValue="2640" count="20">
        <n v="1500"/>
        <n v="1250"/>
        <n v="800"/>
        <n v="1120"/>
        <n v="1300"/>
        <n v="900"/>
        <n v="1800"/>
        <n v="600"/>
        <n v="2100"/>
        <n v="1960"/>
        <n v="1650"/>
        <n v="1200"/>
        <n v="650"/>
        <n v="1540"/>
        <n v="990"/>
        <n v="2640"/>
        <n v="850"/>
        <n v="2240"/>
        <n v="1400"/>
        <n v="500"/>
      </sharedItems>
    </cacheField>
    <cacheField name="Profit" numFmtId="0">
      <sharedItems containsSemiMixedTypes="0" containsString="0" containsNumber="1" containsInteger="1" minValue="1100" maxValue="6300"/>
    </cacheField>
    <cacheField name="Profit Margin" numFmtId="9">
      <sharedItems containsSemiMixedTypes="0" containsString="0" containsNumber="1" minValue="0.6" maxValue="0.75"/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3">
  <r>
    <x v="0"/>
    <x v="0"/>
    <x v="0"/>
    <x v="0"/>
    <x v="0"/>
    <n v="3750"/>
    <x v="0"/>
    <n v="2250"/>
    <n v="0.6"/>
  </r>
  <r>
    <x v="0"/>
    <x v="1"/>
    <x v="1"/>
    <x v="1"/>
    <x v="1"/>
    <n v="5000"/>
    <x v="1"/>
    <n v="3750"/>
    <n v="0.75"/>
  </r>
  <r>
    <x v="1"/>
    <x v="2"/>
    <x v="2"/>
    <x v="2"/>
    <x v="2"/>
    <n v="2400"/>
    <x v="2"/>
    <n v="1600"/>
    <n v="0.66666666666666663"/>
  </r>
  <r>
    <x v="1"/>
    <x v="3"/>
    <x v="3"/>
    <x v="0"/>
    <x v="3"/>
    <n v="2800"/>
    <x v="3"/>
    <n v="1680"/>
    <n v="0.6"/>
  </r>
  <r>
    <x v="2"/>
    <x v="0"/>
    <x v="2"/>
    <x v="2"/>
    <x v="4"/>
    <n v="4000"/>
    <x v="4"/>
    <n v="2700"/>
    <n v="0.67500000000000004"/>
  </r>
  <r>
    <x v="2"/>
    <x v="1"/>
    <x v="0"/>
    <x v="1"/>
    <x v="5"/>
    <n v="3600"/>
    <x v="5"/>
    <n v="2700"/>
    <n v="0.75"/>
  </r>
  <r>
    <x v="3"/>
    <x v="2"/>
    <x v="1"/>
    <x v="0"/>
    <x v="6"/>
    <n v="4500"/>
    <x v="6"/>
    <n v="2700"/>
    <n v="0.6"/>
  </r>
  <r>
    <x v="3"/>
    <x v="3"/>
    <x v="3"/>
    <x v="2"/>
    <x v="7"/>
    <n v="1800"/>
    <x v="7"/>
    <n v="1200"/>
    <n v="0.66666666666666663"/>
  </r>
  <r>
    <x v="4"/>
    <x v="0"/>
    <x v="3"/>
    <x v="1"/>
    <x v="8"/>
    <n v="8400"/>
    <x v="8"/>
    <n v="6300"/>
    <n v="0.75"/>
  </r>
  <r>
    <x v="4"/>
    <x v="1"/>
    <x v="2"/>
    <x v="0"/>
    <x v="9"/>
    <n v="4900"/>
    <x v="9"/>
    <n v="2940"/>
    <n v="0.6"/>
  </r>
  <r>
    <x v="5"/>
    <x v="2"/>
    <x v="0"/>
    <x v="2"/>
    <x v="10"/>
    <n v="5000"/>
    <x v="10"/>
    <n v="3350"/>
    <n v="0.67"/>
  </r>
  <r>
    <x v="5"/>
    <x v="3"/>
    <x v="1"/>
    <x v="1"/>
    <x v="11"/>
    <n v="4800"/>
    <x v="11"/>
    <n v="3600"/>
    <n v="0.75"/>
  </r>
  <r>
    <x v="6"/>
    <x v="0"/>
    <x v="1"/>
    <x v="2"/>
    <x v="12"/>
    <n v="2000"/>
    <x v="12"/>
    <n v="1350"/>
    <n v="0.67500000000000004"/>
  </r>
  <r>
    <x v="6"/>
    <x v="1"/>
    <x v="3"/>
    <x v="0"/>
    <x v="13"/>
    <n v="3850"/>
    <x v="13"/>
    <n v="2310"/>
    <n v="0.6"/>
  </r>
  <r>
    <x v="7"/>
    <x v="2"/>
    <x v="2"/>
    <x v="1"/>
    <x v="14"/>
    <n v="7200"/>
    <x v="6"/>
    <n v="5400"/>
    <n v="0.75"/>
  </r>
  <r>
    <x v="7"/>
    <x v="3"/>
    <x v="0"/>
    <x v="2"/>
    <x v="0"/>
    <n v="3000"/>
    <x v="14"/>
    <n v="2010"/>
    <n v="0.67"/>
  </r>
  <r>
    <x v="8"/>
    <x v="0"/>
    <x v="0"/>
    <x v="0"/>
    <x v="15"/>
    <n v="6600"/>
    <x v="15"/>
    <n v="3960"/>
    <n v="0.6"/>
  </r>
  <r>
    <x v="8"/>
    <x v="1"/>
    <x v="1"/>
    <x v="2"/>
    <x v="16"/>
    <n v="2600"/>
    <x v="16"/>
    <n v="1750"/>
    <n v="0.67307692307692313"/>
  </r>
  <r>
    <x v="9"/>
    <x v="2"/>
    <x v="3"/>
    <x v="1"/>
    <x v="1"/>
    <n v="6000"/>
    <x v="0"/>
    <n v="4500"/>
    <n v="0.75"/>
  </r>
  <r>
    <x v="9"/>
    <x v="3"/>
    <x v="2"/>
    <x v="0"/>
    <x v="17"/>
    <n v="5600"/>
    <x v="17"/>
    <n v="3360"/>
    <n v="0.6"/>
  </r>
  <r>
    <x v="10"/>
    <x v="0"/>
    <x v="2"/>
    <x v="0"/>
    <x v="12"/>
    <n v="3500"/>
    <x v="18"/>
    <n v="2100"/>
    <n v="0.6"/>
  </r>
  <r>
    <x v="10"/>
    <x v="1"/>
    <x v="0"/>
    <x v="2"/>
    <x v="3"/>
    <n v="1600"/>
    <x v="19"/>
    <n v="1100"/>
    <n v="0.6875"/>
  </r>
  <r>
    <x v="11"/>
    <x v="2"/>
    <x v="1"/>
    <x v="1"/>
    <x v="8"/>
    <n v="8400"/>
    <x v="8"/>
    <n v="6300"/>
    <n v="0.7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3" minRefreshableVersion="3" showCalcMbrs="0" useAutoFormatting="1" itemPrintTitles="1" createdVersion="3" indent="0" outline="1" outlineData="1" multipleFieldFilters="0" chartFormat="11" rowHeaderCaption="Units Solds">
  <location ref="A8:C28" firstHeaderRow="1" firstDataRow="2" firstDataCol="1" rowPageCount="3" colPageCount="1"/>
  <pivotFields count="9">
    <pivotField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axis="axisPage" showAll="0">
      <items count="5">
        <item x="0"/>
        <item x="1"/>
        <item x="2"/>
        <item x="3"/>
        <item t="default"/>
      </items>
    </pivotField>
    <pivotField axis="axisPage" showAll="0">
      <items count="5">
        <item x="2"/>
        <item x="0"/>
        <item x="1"/>
        <item x="3"/>
        <item t="default"/>
      </items>
    </pivotField>
    <pivotField axis="axisPage" showAll="0">
      <items count="4">
        <item x="0"/>
        <item x="2"/>
        <item x="1"/>
        <item t="default"/>
      </items>
    </pivotField>
    <pivotField axis="axisRow" showAll="0">
      <items count="19">
        <item x="5"/>
        <item x="11"/>
        <item x="1"/>
        <item x="14"/>
        <item x="8"/>
        <item x="3"/>
        <item x="7"/>
        <item x="12"/>
        <item x="13"/>
        <item x="2"/>
        <item x="16"/>
        <item x="9"/>
        <item x="0"/>
        <item x="17"/>
        <item x="6"/>
        <item x="4"/>
        <item x="15"/>
        <item x="10"/>
        <item t="default"/>
      </items>
    </pivotField>
    <pivotField dataField="1" showAll="0"/>
    <pivotField showAll="0">
      <items count="21">
        <item x="19"/>
        <item x="7"/>
        <item x="12"/>
        <item x="2"/>
        <item x="16"/>
        <item x="5"/>
        <item x="14"/>
        <item x="3"/>
        <item x="11"/>
        <item x="1"/>
        <item x="4"/>
        <item x="18"/>
        <item x="0"/>
        <item x="13"/>
        <item x="10"/>
        <item x="6"/>
        <item x="9"/>
        <item x="8"/>
        <item x="17"/>
        <item x="15"/>
        <item t="default"/>
      </items>
    </pivotField>
    <pivotField dataField="1" showAll="0"/>
    <pivotField numFmtId="9" showAll="0"/>
  </pivotFields>
  <rowFields count="1">
    <field x="4"/>
  </rowFields>
  <rowItems count="1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 t="grand">
      <x/>
    </i>
  </rowItems>
  <colFields count="1">
    <field x="-2"/>
  </colFields>
  <colItems count="2">
    <i>
      <x/>
    </i>
    <i i="1">
      <x v="1"/>
    </i>
  </colItems>
  <pageFields count="3">
    <pageField fld="2" hier="-1"/>
    <pageField fld="1" hier="-1"/>
    <pageField fld="3" hier="-1"/>
  </pageFields>
  <dataFields count="2">
    <dataField name="Sum of Revenue " fld="5" baseField="0" baseItem="0" numFmtId="164"/>
    <dataField name="Sum of Profit" fld="7" baseField="0" baseItem="0" numFmtId="164"/>
  </dataFields>
  <formats count="3">
    <format dxfId="14">
      <pivotArea field="0" grandRow="1" outline="0" collapsedLevelsAreSubtotals="1">
        <references count="1">
          <reference field="4294967294" count="1" selected="0">
            <x v="0"/>
          </reference>
        </references>
      </pivotArea>
    </format>
    <format dxfId="13">
      <pivotArea outline="0" fieldPosition="0">
        <references count="1">
          <reference field="4294967294" count="1">
            <x v="0"/>
          </reference>
        </references>
      </pivotArea>
    </format>
    <format dxfId="12">
      <pivotArea outline="0" fieldPosition="0">
        <references count="1">
          <reference field="4294967294" count="1">
            <x v="1"/>
          </reference>
        </references>
      </pivotArea>
    </format>
  </formats>
  <chartFormats count="2">
    <chartFormat chart="9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2" name="tblRegionalSales" displayName="tblRegionalSales" ref="A1:I24" totalsRowShown="0" headerRowDxfId="18">
  <autoFilter ref="A1:I24">
    <filterColumn colId="7"/>
    <filterColumn colId="8"/>
  </autoFilter>
  <tableColumns count="9">
    <tableColumn id="1" name="Date" dataDxfId="17"/>
    <tableColumn id="2" name="Salesperson "/>
    <tableColumn id="3" name="Region"/>
    <tableColumn id="4" name="Product Category"/>
    <tableColumn id="5" name="Units Sold"/>
    <tableColumn id="6" name="Revenue "/>
    <tableColumn id="7" name="Cost"/>
    <tableColumn id="9" name="Profit" dataDxfId="16">
      <calculatedColumnFormula>tblRegionalSales[[#This Row],[Revenue ]]-tblRegionalSales[[#This Row],[Cost]]</calculatedColumnFormula>
    </tableColumn>
    <tableColumn id="8" name="Profit Margin" dataDxfId="15" dataCellStyle="Percent">
      <calculatedColumnFormula>IFERROR(tblRegionalSales[[#This Row],[Profit]]/tblRegionalSales[[#This Row],[Revenue ]], 0)</calculatedColumnFormula>
    </tableColumn>
  </tableColumns>
  <tableStyleInfo name="TableStyleMedium1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1:E12"/>
  <sheetViews>
    <sheetView workbookViewId="0">
      <selection activeCell="B7" sqref="B7"/>
    </sheetView>
  </sheetViews>
  <sheetFormatPr defaultRowHeight="15"/>
  <cols>
    <col min="1" max="1" width="16.28515625" customWidth="1"/>
    <col min="2" max="2" width="16" customWidth="1"/>
    <col min="3" max="3" width="12.5703125" customWidth="1"/>
    <col min="4" max="4" width="11.7109375" customWidth="1"/>
    <col min="5" max="5" width="12.5703125" customWidth="1"/>
    <col min="6" max="6" width="16" bestFit="1" customWidth="1"/>
    <col min="7" max="7" width="12.5703125" bestFit="1" customWidth="1"/>
    <col min="8" max="8" width="16" bestFit="1" customWidth="1"/>
    <col min="9" max="9" width="12.5703125" bestFit="1" customWidth="1"/>
    <col min="10" max="10" width="21" bestFit="1" customWidth="1"/>
    <col min="11" max="11" width="17.7109375" bestFit="1" customWidth="1"/>
  </cols>
  <sheetData>
    <row r="1" spans="2:5">
      <c r="B1">
        <f>Dashboard!C4</f>
        <v>0</v>
      </c>
    </row>
    <row r="2" spans="2:5">
      <c r="B2">
        <f>Dashboard!C5</f>
        <v>0</v>
      </c>
    </row>
    <row r="11" spans="2:5">
      <c r="E11" s="11">
        <f>GETPIVOTDATA("Sum of Revenue ",Dashboard!$A$8)</f>
        <v>101300</v>
      </c>
    </row>
    <row r="12" spans="2:5">
      <c r="E12" s="11">
        <f>GETPIVOTDATA("Sum of Profit",Dashboard!$A$8)</f>
        <v>68910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J24"/>
  <sheetViews>
    <sheetView topLeftCell="A2" zoomScale="112" zoomScaleNormal="112" workbookViewId="0">
      <selection activeCell="E10" sqref="E10"/>
    </sheetView>
  </sheetViews>
  <sheetFormatPr defaultRowHeight="15"/>
  <cols>
    <col min="1" max="1" width="12.5703125" bestFit="1" customWidth="1"/>
    <col min="2" max="2" width="18.42578125" customWidth="1"/>
    <col min="3" max="3" width="15.5703125" customWidth="1"/>
    <col min="4" max="4" width="22.7109375" customWidth="1"/>
    <col min="5" max="5" width="15.85546875" customWidth="1"/>
    <col min="6" max="6" width="11.42578125" customWidth="1"/>
    <col min="7" max="8" width="10" customWidth="1"/>
    <col min="9" max="9" width="17.5703125" style="7" customWidth="1"/>
  </cols>
  <sheetData>
    <row r="1" spans="1:10" s="3" customFormat="1" ht="18.75">
      <c r="A1" s="2" t="s">
        <v>2</v>
      </c>
      <c r="B1" s="2" t="s">
        <v>4</v>
      </c>
      <c r="C1" s="2" t="s">
        <v>3</v>
      </c>
      <c r="D1" s="2" t="s">
        <v>5</v>
      </c>
      <c r="E1" s="2" t="s">
        <v>0</v>
      </c>
      <c r="F1" s="2" t="s">
        <v>6</v>
      </c>
      <c r="G1" s="2" t="s">
        <v>1</v>
      </c>
      <c r="H1" s="5" t="s">
        <v>19</v>
      </c>
      <c r="I1" s="6" t="s">
        <v>18</v>
      </c>
    </row>
    <row r="2" spans="1:10">
      <c r="A2" s="13">
        <v>45962</v>
      </c>
      <c r="B2" t="s">
        <v>7</v>
      </c>
      <c r="C2" t="s">
        <v>8</v>
      </c>
      <c r="D2" t="s">
        <v>9</v>
      </c>
      <c r="E2">
        <v>15</v>
      </c>
      <c r="F2">
        <v>3750</v>
      </c>
      <c r="G2">
        <v>1500</v>
      </c>
      <c r="H2" s="1">
        <f>tblRegionalSales[[#This Row],[Revenue ]]-tblRegionalSales[[#This Row],[Cost]]</f>
        <v>2250</v>
      </c>
      <c r="I2" s="7">
        <f>IFERROR(tblRegionalSales[[#This Row],[Profit]]/tblRegionalSales[[#This Row],[Revenue ]], 0)</f>
        <v>0.6</v>
      </c>
    </row>
    <row r="3" spans="1:10">
      <c r="A3" s="13">
        <v>45962</v>
      </c>
      <c r="B3" t="s">
        <v>10</v>
      </c>
      <c r="C3" t="s">
        <v>11</v>
      </c>
      <c r="D3" t="s">
        <v>12</v>
      </c>
      <c r="E3">
        <v>5</v>
      </c>
      <c r="F3">
        <v>5000</v>
      </c>
      <c r="G3">
        <v>1250</v>
      </c>
      <c r="H3" s="1">
        <f>tblRegionalSales[[#This Row],[Revenue ]]-tblRegionalSales[[#This Row],[Cost]]</f>
        <v>3750</v>
      </c>
      <c r="I3" s="7">
        <f>IFERROR(tblRegionalSales[[#This Row],[Profit]]/tblRegionalSales[[#This Row],[Revenue ]], 0)</f>
        <v>0.75</v>
      </c>
      <c r="J3" s="4"/>
    </row>
    <row r="4" spans="1:10">
      <c r="A4" s="13">
        <v>45963</v>
      </c>
      <c r="B4" t="s">
        <v>13</v>
      </c>
      <c r="C4" t="s">
        <v>14</v>
      </c>
      <c r="D4" t="s">
        <v>15</v>
      </c>
      <c r="E4">
        <v>12</v>
      </c>
      <c r="F4">
        <v>2400</v>
      </c>
      <c r="G4">
        <v>800</v>
      </c>
      <c r="H4" s="1">
        <f>tblRegionalSales[[#This Row],[Revenue ]]-tblRegionalSales[[#This Row],[Cost]]</f>
        <v>1600</v>
      </c>
      <c r="I4" s="7">
        <f>IFERROR(tblRegionalSales[[#This Row],[Profit]]/tblRegionalSales[[#This Row],[Revenue ]], 0)</f>
        <v>0.66666666666666663</v>
      </c>
    </row>
    <row r="5" spans="1:10">
      <c r="A5" s="13">
        <v>45963</v>
      </c>
      <c r="B5" t="s">
        <v>16</v>
      </c>
      <c r="C5" t="s">
        <v>17</v>
      </c>
      <c r="D5" t="s">
        <v>9</v>
      </c>
      <c r="E5">
        <v>8</v>
      </c>
      <c r="F5">
        <v>2800</v>
      </c>
      <c r="G5">
        <v>1120</v>
      </c>
      <c r="H5" s="1">
        <f>tblRegionalSales[[#This Row],[Revenue ]]-tblRegionalSales[[#This Row],[Cost]]</f>
        <v>1680</v>
      </c>
      <c r="I5" s="7">
        <f>IFERROR(tblRegionalSales[[#This Row],[Profit]]/tblRegionalSales[[#This Row],[Revenue ]], 0)</f>
        <v>0.6</v>
      </c>
    </row>
    <row r="6" spans="1:10">
      <c r="A6" s="13">
        <v>45964</v>
      </c>
      <c r="B6" t="s">
        <v>7</v>
      </c>
      <c r="C6" t="s">
        <v>14</v>
      </c>
      <c r="D6" t="s">
        <v>15</v>
      </c>
      <c r="E6">
        <v>20</v>
      </c>
      <c r="F6">
        <v>4000</v>
      </c>
      <c r="G6">
        <v>1300</v>
      </c>
      <c r="H6" s="1">
        <f>tblRegionalSales[[#This Row],[Revenue ]]-tblRegionalSales[[#This Row],[Cost]]</f>
        <v>2700</v>
      </c>
      <c r="I6" s="7">
        <f>IFERROR(tblRegionalSales[[#This Row],[Profit]]/tblRegionalSales[[#This Row],[Revenue ]], 0)</f>
        <v>0.67500000000000004</v>
      </c>
    </row>
    <row r="7" spans="1:10">
      <c r="A7" s="13">
        <v>45964</v>
      </c>
      <c r="B7" t="s">
        <v>10</v>
      </c>
      <c r="C7" t="s">
        <v>8</v>
      </c>
      <c r="D7" t="s">
        <v>12</v>
      </c>
      <c r="E7">
        <v>3</v>
      </c>
      <c r="F7">
        <v>3600</v>
      </c>
      <c r="G7">
        <v>900</v>
      </c>
      <c r="H7" s="1">
        <f>tblRegionalSales[[#This Row],[Revenue ]]-tblRegionalSales[[#This Row],[Cost]]</f>
        <v>2700</v>
      </c>
      <c r="I7" s="7">
        <f>IFERROR(tblRegionalSales[[#This Row],[Profit]]/tblRegionalSales[[#This Row],[Revenue ]], 0)</f>
        <v>0.75</v>
      </c>
    </row>
    <row r="8" spans="1:10">
      <c r="A8" s="13">
        <v>45965</v>
      </c>
      <c r="B8" t="s">
        <v>13</v>
      </c>
      <c r="C8" t="s">
        <v>11</v>
      </c>
      <c r="D8" t="s">
        <v>9</v>
      </c>
      <c r="E8">
        <v>18</v>
      </c>
      <c r="F8">
        <v>4500</v>
      </c>
      <c r="G8">
        <v>1800</v>
      </c>
      <c r="H8" s="1">
        <f>tblRegionalSales[[#This Row],[Revenue ]]-tblRegionalSales[[#This Row],[Cost]]</f>
        <v>2700</v>
      </c>
      <c r="I8" s="7">
        <f>IFERROR(tblRegionalSales[[#This Row],[Profit]]/tblRegionalSales[[#This Row],[Revenue ]], 0)</f>
        <v>0.6</v>
      </c>
    </row>
    <row r="9" spans="1:10">
      <c r="A9" s="13">
        <v>45965</v>
      </c>
      <c r="B9" t="s">
        <v>16</v>
      </c>
      <c r="C9" t="s">
        <v>17</v>
      </c>
      <c r="D9" t="s">
        <v>15</v>
      </c>
      <c r="E9">
        <v>9</v>
      </c>
      <c r="F9">
        <v>1800</v>
      </c>
      <c r="G9">
        <v>600</v>
      </c>
      <c r="H9" s="1">
        <f>tblRegionalSales[[#This Row],[Revenue ]]-tblRegionalSales[[#This Row],[Cost]]</f>
        <v>1200</v>
      </c>
      <c r="I9" s="7">
        <f>IFERROR(tblRegionalSales[[#This Row],[Profit]]/tblRegionalSales[[#This Row],[Revenue ]], 0)</f>
        <v>0.66666666666666663</v>
      </c>
    </row>
    <row r="10" spans="1:10">
      <c r="A10" s="13">
        <v>45966</v>
      </c>
      <c r="B10" t="s">
        <v>7</v>
      </c>
      <c r="C10" t="s">
        <v>17</v>
      </c>
      <c r="D10" t="s">
        <v>12</v>
      </c>
      <c r="E10">
        <v>7</v>
      </c>
      <c r="F10">
        <v>8400</v>
      </c>
      <c r="G10">
        <v>2100</v>
      </c>
      <c r="H10" s="1">
        <f>tblRegionalSales[[#This Row],[Revenue ]]-tblRegionalSales[[#This Row],[Cost]]</f>
        <v>6300</v>
      </c>
      <c r="I10" s="7">
        <f>IFERROR(tblRegionalSales[[#This Row],[Profit]]/tblRegionalSales[[#This Row],[Revenue ]], 0)</f>
        <v>0.75</v>
      </c>
    </row>
    <row r="11" spans="1:10">
      <c r="A11" s="13">
        <v>45966</v>
      </c>
      <c r="B11" t="s">
        <v>10</v>
      </c>
      <c r="C11" t="s">
        <v>14</v>
      </c>
      <c r="D11" t="s">
        <v>9</v>
      </c>
      <c r="E11">
        <v>14</v>
      </c>
      <c r="F11">
        <v>4900</v>
      </c>
      <c r="G11">
        <v>1960</v>
      </c>
      <c r="H11" s="1">
        <f>tblRegionalSales[[#This Row],[Revenue ]]-tblRegionalSales[[#This Row],[Cost]]</f>
        <v>2940</v>
      </c>
      <c r="I11" s="7">
        <f>IFERROR(tblRegionalSales[[#This Row],[Profit]]/tblRegionalSales[[#This Row],[Revenue ]], 0)</f>
        <v>0.6</v>
      </c>
    </row>
    <row r="12" spans="1:10">
      <c r="A12" s="13">
        <v>45967</v>
      </c>
      <c r="B12" t="s">
        <v>13</v>
      </c>
      <c r="C12" t="s">
        <v>8</v>
      </c>
      <c r="D12" t="s">
        <v>15</v>
      </c>
      <c r="E12">
        <v>25</v>
      </c>
      <c r="F12">
        <v>5000</v>
      </c>
      <c r="G12">
        <v>1650</v>
      </c>
      <c r="H12" s="1">
        <f>tblRegionalSales[[#This Row],[Revenue ]]-tblRegionalSales[[#This Row],[Cost]]</f>
        <v>3350</v>
      </c>
      <c r="I12" s="7">
        <f>IFERROR(tblRegionalSales[[#This Row],[Profit]]/tblRegionalSales[[#This Row],[Revenue ]], 0)</f>
        <v>0.67</v>
      </c>
    </row>
    <row r="13" spans="1:10">
      <c r="A13" s="13">
        <v>45967</v>
      </c>
      <c r="B13" t="s">
        <v>16</v>
      </c>
      <c r="C13" t="s">
        <v>11</v>
      </c>
      <c r="D13" t="s">
        <v>12</v>
      </c>
      <c r="E13">
        <v>4</v>
      </c>
      <c r="F13">
        <v>4800</v>
      </c>
      <c r="G13">
        <v>1200</v>
      </c>
      <c r="H13" s="1">
        <f>tblRegionalSales[[#This Row],[Revenue ]]-tblRegionalSales[[#This Row],[Cost]]</f>
        <v>3600</v>
      </c>
      <c r="I13" s="7">
        <f>IFERROR(tblRegionalSales[[#This Row],[Profit]]/tblRegionalSales[[#This Row],[Revenue ]], 0)</f>
        <v>0.75</v>
      </c>
    </row>
    <row r="14" spans="1:10">
      <c r="A14" s="13">
        <v>45968</v>
      </c>
      <c r="B14" t="s">
        <v>7</v>
      </c>
      <c r="C14" t="s">
        <v>11</v>
      </c>
      <c r="D14" t="s">
        <v>15</v>
      </c>
      <c r="E14">
        <v>10</v>
      </c>
      <c r="F14">
        <v>2000</v>
      </c>
      <c r="G14">
        <v>650</v>
      </c>
      <c r="H14" s="1">
        <f>tblRegionalSales[[#This Row],[Revenue ]]-tblRegionalSales[[#This Row],[Cost]]</f>
        <v>1350</v>
      </c>
      <c r="I14" s="7">
        <f>IFERROR(tblRegionalSales[[#This Row],[Profit]]/tblRegionalSales[[#This Row],[Revenue ]], 0)</f>
        <v>0.67500000000000004</v>
      </c>
    </row>
    <row r="15" spans="1:10">
      <c r="A15" s="13">
        <v>45968</v>
      </c>
      <c r="B15" t="s">
        <v>10</v>
      </c>
      <c r="C15" t="s">
        <v>17</v>
      </c>
      <c r="D15" t="s">
        <v>9</v>
      </c>
      <c r="E15">
        <v>11</v>
      </c>
      <c r="F15">
        <v>3850</v>
      </c>
      <c r="G15">
        <v>1540</v>
      </c>
      <c r="H15" s="1">
        <f>tblRegionalSales[[#This Row],[Revenue ]]-tblRegionalSales[[#This Row],[Cost]]</f>
        <v>2310</v>
      </c>
      <c r="I15" s="7">
        <f>IFERROR(tblRegionalSales[[#This Row],[Profit]]/tblRegionalSales[[#This Row],[Revenue ]], 0)</f>
        <v>0.6</v>
      </c>
    </row>
    <row r="16" spans="1:10">
      <c r="A16" s="13">
        <v>45969</v>
      </c>
      <c r="B16" t="s">
        <v>13</v>
      </c>
      <c r="C16" t="s">
        <v>14</v>
      </c>
      <c r="D16" t="s">
        <v>12</v>
      </c>
      <c r="E16">
        <v>6</v>
      </c>
      <c r="F16">
        <v>7200</v>
      </c>
      <c r="G16">
        <v>1800</v>
      </c>
      <c r="H16" s="1">
        <f>tblRegionalSales[[#This Row],[Revenue ]]-tblRegionalSales[[#This Row],[Cost]]</f>
        <v>5400</v>
      </c>
      <c r="I16" s="7">
        <f>IFERROR(tblRegionalSales[[#This Row],[Profit]]/tblRegionalSales[[#This Row],[Revenue ]], 0)</f>
        <v>0.75</v>
      </c>
    </row>
    <row r="17" spans="1:9">
      <c r="A17" s="13">
        <v>45969</v>
      </c>
      <c r="B17" t="s">
        <v>16</v>
      </c>
      <c r="C17" t="s">
        <v>8</v>
      </c>
      <c r="D17" t="s">
        <v>15</v>
      </c>
      <c r="E17">
        <v>15</v>
      </c>
      <c r="F17">
        <v>3000</v>
      </c>
      <c r="G17">
        <v>990</v>
      </c>
      <c r="H17" s="1">
        <f>tblRegionalSales[[#This Row],[Revenue ]]-tblRegionalSales[[#This Row],[Cost]]</f>
        <v>2010</v>
      </c>
      <c r="I17" s="7">
        <f>IFERROR(tblRegionalSales[[#This Row],[Profit]]/tblRegionalSales[[#This Row],[Revenue ]], 0)</f>
        <v>0.67</v>
      </c>
    </row>
    <row r="18" spans="1:9">
      <c r="A18" s="13">
        <v>45970</v>
      </c>
      <c r="B18" t="s">
        <v>7</v>
      </c>
      <c r="C18" t="s">
        <v>8</v>
      </c>
      <c r="D18" t="s">
        <v>9</v>
      </c>
      <c r="E18">
        <v>22</v>
      </c>
      <c r="F18">
        <v>6600</v>
      </c>
      <c r="G18">
        <v>2640</v>
      </c>
      <c r="H18" s="1">
        <f>tblRegionalSales[[#This Row],[Revenue ]]-tblRegionalSales[[#This Row],[Cost]]</f>
        <v>3960</v>
      </c>
      <c r="I18" s="7">
        <f>IFERROR(tblRegionalSales[[#This Row],[Profit]]/tblRegionalSales[[#This Row],[Revenue ]], 0)</f>
        <v>0.6</v>
      </c>
    </row>
    <row r="19" spans="1:9">
      <c r="A19" s="13">
        <v>45970</v>
      </c>
      <c r="B19" t="s">
        <v>10</v>
      </c>
      <c r="C19" t="s">
        <v>11</v>
      </c>
      <c r="D19" t="s">
        <v>15</v>
      </c>
      <c r="E19">
        <v>13</v>
      </c>
      <c r="F19">
        <v>2600</v>
      </c>
      <c r="G19">
        <v>850</v>
      </c>
      <c r="H19" s="1">
        <f>tblRegionalSales[[#This Row],[Revenue ]]-tblRegionalSales[[#This Row],[Cost]]</f>
        <v>1750</v>
      </c>
      <c r="I19" s="7">
        <f>IFERROR(tblRegionalSales[[#This Row],[Profit]]/tblRegionalSales[[#This Row],[Revenue ]], 0)</f>
        <v>0.67307692307692313</v>
      </c>
    </row>
    <row r="20" spans="1:9">
      <c r="A20" s="13">
        <v>45971</v>
      </c>
      <c r="B20" t="s">
        <v>13</v>
      </c>
      <c r="C20" t="s">
        <v>17</v>
      </c>
      <c r="D20" t="s">
        <v>12</v>
      </c>
      <c r="E20">
        <v>5</v>
      </c>
      <c r="F20">
        <v>6000</v>
      </c>
      <c r="G20">
        <v>1500</v>
      </c>
      <c r="H20" s="1">
        <f>tblRegionalSales[[#This Row],[Revenue ]]-tblRegionalSales[[#This Row],[Cost]]</f>
        <v>4500</v>
      </c>
      <c r="I20" s="7">
        <f>IFERROR(tblRegionalSales[[#This Row],[Profit]]/tblRegionalSales[[#This Row],[Revenue ]], 0)</f>
        <v>0.75</v>
      </c>
    </row>
    <row r="21" spans="1:9">
      <c r="A21" s="13">
        <v>45971</v>
      </c>
      <c r="B21" t="s">
        <v>16</v>
      </c>
      <c r="C21" t="s">
        <v>14</v>
      </c>
      <c r="D21" t="s">
        <v>9</v>
      </c>
      <c r="E21">
        <v>16</v>
      </c>
      <c r="F21">
        <v>5600</v>
      </c>
      <c r="G21">
        <v>2240</v>
      </c>
      <c r="H21" s="1">
        <f>tblRegionalSales[[#This Row],[Revenue ]]-tblRegionalSales[[#This Row],[Cost]]</f>
        <v>3360</v>
      </c>
      <c r="I21" s="7">
        <f>IFERROR(tblRegionalSales[[#This Row],[Profit]]/tblRegionalSales[[#This Row],[Revenue ]], 0)</f>
        <v>0.6</v>
      </c>
    </row>
    <row r="22" spans="1:9">
      <c r="A22" s="13">
        <v>45972</v>
      </c>
      <c r="B22" t="s">
        <v>7</v>
      </c>
      <c r="C22" t="s">
        <v>14</v>
      </c>
      <c r="D22" t="s">
        <v>9</v>
      </c>
      <c r="E22">
        <v>10</v>
      </c>
      <c r="F22">
        <v>3500</v>
      </c>
      <c r="G22">
        <v>1400</v>
      </c>
      <c r="H22" s="1">
        <f>tblRegionalSales[[#This Row],[Revenue ]]-tblRegionalSales[[#This Row],[Cost]]</f>
        <v>2100</v>
      </c>
      <c r="I22" s="7">
        <f>IFERROR(tblRegionalSales[[#This Row],[Profit]]/tblRegionalSales[[#This Row],[Revenue ]], 0)</f>
        <v>0.6</v>
      </c>
    </row>
    <row r="23" spans="1:9">
      <c r="A23" s="13">
        <v>45972</v>
      </c>
      <c r="B23" t="s">
        <v>10</v>
      </c>
      <c r="C23" t="s">
        <v>8</v>
      </c>
      <c r="D23" t="s">
        <v>15</v>
      </c>
      <c r="E23">
        <v>8</v>
      </c>
      <c r="F23">
        <v>1600</v>
      </c>
      <c r="G23">
        <v>500</v>
      </c>
      <c r="H23" s="1">
        <f>tblRegionalSales[[#This Row],[Revenue ]]-tblRegionalSales[[#This Row],[Cost]]</f>
        <v>1100</v>
      </c>
      <c r="I23" s="7">
        <f>IFERROR(tblRegionalSales[[#This Row],[Profit]]/tblRegionalSales[[#This Row],[Revenue ]], 0)</f>
        <v>0.6875</v>
      </c>
    </row>
    <row r="24" spans="1:9">
      <c r="A24" s="13">
        <v>45973</v>
      </c>
      <c r="B24" t="s">
        <v>13</v>
      </c>
      <c r="C24" t="s">
        <v>11</v>
      </c>
      <c r="D24" t="s">
        <v>12</v>
      </c>
      <c r="E24">
        <v>7</v>
      </c>
      <c r="F24">
        <v>8400</v>
      </c>
      <c r="G24">
        <v>2100</v>
      </c>
      <c r="H24" s="1">
        <f>tblRegionalSales[[#This Row],[Revenue ]]-tblRegionalSales[[#This Row],[Cost]]</f>
        <v>6300</v>
      </c>
      <c r="I24" s="7">
        <f>IFERROR(tblRegionalSales[[#This Row],[Profit]]/tblRegionalSales[[#This Row],[Revenue ]], 0)</f>
        <v>0.75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U28"/>
  <sheetViews>
    <sheetView showGridLines="0" tabSelected="1" workbookViewId="0">
      <selection activeCell="Q12" sqref="Q12"/>
    </sheetView>
  </sheetViews>
  <sheetFormatPr defaultRowHeight="15"/>
  <cols>
    <col min="1" max="1" width="16.28515625" bestFit="1" customWidth="1"/>
    <col min="2" max="2" width="16" customWidth="1"/>
    <col min="3" max="3" width="12.5703125" bestFit="1" customWidth="1"/>
  </cols>
  <sheetData>
    <row r="1" spans="1:21" ht="21" customHeight="1">
      <c r="A1" s="14" t="s">
        <v>25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</row>
    <row r="2" spans="1:21" ht="15" customHeight="1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</row>
    <row r="4" spans="1:21">
      <c r="A4" s="8" t="s">
        <v>3</v>
      </c>
      <c r="B4" t="s">
        <v>23</v>
      </c>
      <c r="C4" s="12"/>
    </row>
    <row r="5" spans="1:21">
      <c r="A5" s="8" t="s">
        <v>24</v>
      </c>
      <c r="B5" t="s">
        <v>23</v>
      </c>
    </row>
    <row r="6" spans="1:21">
      <c r="A6" s="8" t="s">
        <v>5</v>
      </c>
      <c r="B6" t="s">
        <v>23</v>
      </c>
    </row>
    <row r="8" spans="1:21">
      <c r="B8" s="8" t="s">
        <v>22</v>
      </c>
    </row>
    <row r="9" spans="1:21">
      <c r="A9" s="8" t="s">
        <v>27</v>
      </c>
      <c r="B9" t="s">
        <v>20</v>
      </c>
      <c r="C9" t="s">
        <v>21</v>
      </c>
    </row>
    <row r="10" spans="1:21">
      <c r="A10" s="9">
        <v>3</v>
      </c>
      <c r="B10" s="10">
        <v>3600</v>
      </c>
      <c r="C10" s="10">
        <v>2700</v>
      </c>
    </row>
    <row r="11" spans="1:21">
      <c r="A11" s="9">
        <v>4</v>
      </c>
      <c r="B11" s="10">
        <v>4800</v>
      </c>
      <c r="C11" s="10">
        <v>3600</v>
      </c>
    </row>
    <row r="12" spans="1:21">
      <c r="A12" s="9">
        <v>5</v>
      </c>
      <c r="B12" s="10">
        <v>11000</v>
      </c>
      <c r="C12" s="10">
        <v>8250</v>
      </c>
    </row>
    <row r="13" spans="1:21">
      <c r="A13" s="9">
        <v>6</v>
      </c>
      <c r="B13" s="10">
        <v>7200</v>
      </c>
      <c r="C13" s="10">
        <v>5400</v>
      </c>
    </row>
    <row r="14" spans="1:21">
      <c r="A14" s="9">
        <v>7</v>
      </c>
      <c r="B14" s="10">
        <v>16800</v>
      </c>
      <c r="C14" s="10">
        <v>12600</v>
      </c>
    </row>
    <row r="15" spans="1:21">
      <c r="A15" s="9">
        <v>8</v>
      </c>
      <c r="B15" s="10">
        <v>4400</v>
      </c>
      <c r="C15" s="10">
        <v>2780</v>
      </c>
    </row>
    <row r="16" spans="1:21">
      <c r="A16" s="9">
        <v>9</v>
      </c>
      <c r="B16" s="10">
        <v>1800</v>
      </c>
      <c r="C16" s="10">
        <v>1200</v>
      </c>
    </row>
    <row r="17" spans="1:3">
      <c r="A17" s="9">
        <v>10</v>
      </c>
      <c r="B17" s="10">
        <v>5500</v>
      </c>
      <c r="C17" s="10">
        <v>3450</v>
      </c>
    </row>
    <row r="18" spans="1:3">
      <c r="A18" s="9">
        <v>11</v>
      </c>
      <c r="B18" s="10">
        <v>3850</v>
      </c>
      <c r="C18" s="10">
        <v>2310</v>
      </c>
    </row>
    <row r="19" spans="1:3">
      <c r="A19" s="9">
        <v>12</v>
      </c>
      <c r="B19" s="10">
        <v>2400</v>
      </c>
      <c r="C19" s="10">
        <v>1600</v>
      </c>
    </row>
    <row r="20" spans="1:3">
      <c r="A20" s="9">
        <v>13</v>
      </c>
      <c r="B20" s="10">
        <v>2600</v>
      </c>
      <c r="C20" s="10">
        <v>1750</v>
      </c>
    </row>
    <row r="21" spans="1:3">
      <c r="A21" s="9">
        <v>14</v>
      </c>
      <c r="B21" s="10">
        <v>4900</v>
      </c>
      <c r="C21" s="10">
        <v>2940</v>
      </c>
    </row>
    <row r="22" spans="1:3">
      <c r="A22" s="9">
        <v>15</v>
      </c>
      <c r="B22" s="10">
        <v>6750</v>
      </c>
      <c r="C22" s="10">
        <v>4260</v>
      </c>
    </row>
    <row r="23" spans="1:3">
      <c r="A23" s="9">
        <v>16</v>
      </c>
      <c r="B23" s="10">
        <v>5600</v>
      </c>
      <c r="C23" s="10">
        <v>3360</v>
      </c>
    </row>
    <row r="24" spans="1:3">
      <c r="A24" s="9">
        <v>18</v>
      </c>
      <c r="B24" s="10">
        <v>4500</v>
      </c>
      <c r="C24" s="10">
        <v>2700</v>
      </c>
    </row>
    <row r="25" spans="1:3">
      <c r="A25" s="9">
        <v>20</v>
      </c>
      <c r="B25" s="10">
        <v>4000</v>
      </c>
      <c r="C25" s="10">
        <v>2700</v>
      </c>
    </row>
    <row r="26" spans="1:3">
      <c r="A26" s="9">
        <v>22</v>
      </c>
      <c r="B26" s="10">
        <v>6600</v>
      </c>
      <c r="C26" s="10">
        <v>3960</v>
      </c>
    </row>
    <row r="27" spans="1:3">
      <c r="A27" s="9">
        <v>25</v>
      </c>
      <c r="B27" s="10">
        <v>5000</v>
      </c>
      <c r="C27" s="10">
        <v>3350</v>
      </c>
    </row>
    <row r="28" spans="1:3">
      <c r="A28" s="9" t="s">
        <v>26</v>
      </c>
      <c r="B28" s="10">
        <v>101300</v>
      </c>
      <c r="C28" s="10">
        <v>68910</v>
      </c>
    </row>
  </sheetData>
  <mergeCells count="1">
    <mergeCell ref="A1:U2"/>
  </mergeCells>
  <pageMargins left="0.7" right="0.7" top="0.75" bottom="0.75" header="0.3" footer="0.3"/>
  <pageSetup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Analysis</vt:lpstr>
      <vt:lpstr>Data</vt:lpstr>
      <vt:lpstr>Dashboard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BCCK</dc:creator>
  <cp:lastModifiedBy>BCCK</cp:lastModifiedBy>
  <dcterms:created xsi:type="dcterms:W3CDTF">2025-12-15T03:47:12Z</dcterms:created>
  <dcterms:modified xsi:type="dcterms:W3CDTF">2025-12-18T15:05:06Z</dcterms:modified>
</cp:coreProperties>
</file>